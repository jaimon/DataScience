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efanjenss/Desktop/DataScience/Decision_analytics/Module6/"/>
    </mc:Choice>
  </mc:AlternateContent>
  <xr:revisionPtr revIDLastSave="0" documentId="13_ncr:1_{398EEA75-EAC8-544E-8A6B-E2B08C15C26F}" xr6:coauthVersionLast="47" xr6:coauthVersionMax="47" xr10:uidLastSave="{00000000-0000-0000-0000-000000000000}"/>
  <bookViews>
    <workbookView xWindow="0" yWindow="500" windowWidth="19200" windowHeight="19580" xr2:uid="{44453298-CD55-E24A-8C56-71665D6DF46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1" l="1"/>
  <c r="I27" i="1"/>
  <c r="F28" i="1"/>
  <c r="L30" i="1"/>
  <c r="L23" i="1"/>
  <c r="I18" i="1"/>
  <c r="L18" i="1"/>
  <c r="I10" i="1"/>
  <c r="F22" i="1"/>
  <c r="C25" i="1"/>
</calcChain>
</file>

<file path=xl/sharedStrings.xml><?xml version="1.0" encoding="utf-8"?>
<sst xmlns="http://schemas.openxmlformats.org/spreadsheetml/2006/main" count="131" uniqueCount="109">
  <si>
    <t>Leelanau</t>
  </si>
  <si>
    <t>Clinton</t>
  </si>
  <si>
    <t>Wexford</t>
  </si>
  <si>
    <t>Branch</t>
  </si>
  <si>
    <t>Ionia</t>
  </si>
  <si>
    <t>Mecosta</t>
  </si>
  <si>
    <t>Keweenaw</t>
  </si>
  <si>
    <t>Isabella</t>
  </si>
  <si>
    <t>Schoolcraft</t>
  </si>
  <si>
    <t>Crawford</t>
  </si>
  <si>
    <t>St.Clair</t>
  </si>
  <si>
    <t>Missaukee</t>
  </si>
  <si>
    <t>Saginaw</t>
  </si>
  <si>
    <t>Houghton</t>
  </si>
  <si>
    <t>VanBuren</t>
  </si>
  <si>
    <t>Ottawa</t>
  </si>
  <si>
    <t>Berrien</t>
  </si>
  <si>
    <t>Montmorency</t>
  </si>
  <si>
    <t>Shiawassee</t>
  </si>
  <si>
    <t>Otsego</t>
  </si>
  <si>
    <t>Lenawee</t>
  </si>
  <si>
    <t>Newaygo</t>
  </si>
  <si>
    <t>Roscommon</t>
  </si>
  <si>
    <t>Marquette</t>
  </si>
  <si>
    <t>Alger</t>
  </si>
  <si>
    <t>Iron</t>
  </si>
  <si>
    <t>Barry</t>
  </si>
  <si>
    <t>Emmet</t>
  </si>
  <si>
    <t>Osceola</t>
  </si>
  <si>
    <t>Antrim</t>
  </si>
  <si>
    <t>Jackson</t>
  </si>
  <si>
    <t>Manistee</t>
  </si>
  <si>
    <t>Calhoun</t>
  </si>
  <si>
    <t>Tuscola</t>
  </si>
  <si>
    <t>Gladwin</t>
  </si>
  <si>
    <t>Menominee</t>
  </si>
  <si>
    <t>Ontonagon</t>
  </si>
  <si>
    <t>Gogebic</t>
  </si>
  <si>
    <t>Macomb</t>
  </si>
  <si>
    <t>Midland</t>
  </si>
  <si>
    <t>Kent</t>
  </si>
  <si>
    <t>St.Joseph</t>
  </si>
  <si>
    <t>Ogemaw</t>
  </si>
  <si>
    <t>Oceana</t>
  </si>
  <si>
    <t>Iosco</t>
  </si>
  <si>
    <t>Alpena</t>
  </si>
  <si>
    <t>Sanilac</t>
  </si>
  <si>
    <t>Oscoda</t>
  </si>
  <si>
    <t>Washtenaw</t>
  </si>
  <si>
    <t>Kalamazoo</t>
  </si>
  <si>
    <t>Ingham</t>
  </si>
  <si>
    <t>Dickinson</t>
  </si>
  <si>
    <t>Bay</t>
  </si>
  <si>
    <t>Benzie</t>
  </si>
  <si>
    <t>Huron</t>
  </si>
  <si>
    <t>Clare</t>
  </si>
  <si>
    <t>Luce</t>
  </si>
  <si>
    <t>Genesee</t>
  </si>
  <si>
    <t>Montcalm</t>
  </si>
  <si>
    <t>Cheboygan</t>
  </si>
  <si>
    <t>Eaton</t>
  </si>
  <si>
    <t>Chippewa</t>
  </si>
  <si>
    <t>Lake</t>
  </si>
  <si>
    <t>Kalkaska</t>
  </si>
  <si>
    <t>Mason</t>
  </si>
  <si>
    <t>Mackinac</t>
  </si>
  <si>
    <t>Oakland</t>
  </si>
  <si>
    <t>Monroe</t>
  </si>
  <si>
    <t>Allegan</t>
  </si>
  <si>
    <t>Wayne</t>
  </si>
  <si>
    <t>Muskegon</t>
  </si>
  <si>
    <t>Gratiot</t>
  </si>
  <si>
    <t>GrandTraverse</t>
  </si>
  <si>
    <t>Baraga</t>
  </si>
  <si>
    <t>Delta</t>
  </si>
  <si>
    <t>Hillsdale</t>
  </si>
  <si>
    <t>Cass</t>
  </si>
  <si>
    <t>Lapeer</t>
  </si>
  <si>
    <t>Arenac</t>
  </si>
  <si>
    <t>Charlevoix</t>
  </si>
  <si>
    <t>Alcona</t>
  </si>
  <si>
    <t>Livingston</t>
  </si>
  <si>
    <t>Population</t>
  </si>
  <si>
    <t>Presque Isle</t>
  </si>
  <si>
    <t>Total Population</t>
  </si>
  <si>
    <t>District 11 (Northern)</t>
  </si>
  <si>
    <t>District 12</t>
  </si>
  <si>
    <t>District 13</t>
  </si>
  <si>
    <t>District 14</t>
  </si>
  <si>
    <t>District 10</t>
  </si>
  <si>
    <t>District 9</t>
  </si>
  <si>
    <t>District 8</t>
  </si>
  <si>
    <t>District 7</t>
  </si>
  <si>
    <t>District 6</t>
  </si>
  <si>
    <t>Green</t>
  </si>
  <si>
    <t>Round 1</t>
  </si>
  <si>
    <t>Yellow</t>
  </si>
  <si>
    <t>Round 2</t>
  </si>
  <si>
    <t>Orange</t>
  </si>
  <si>
    <t>Round 3</t>
  </si>
  <si>
    <t>Manual Assignment</t>
  </si>
  <si>
    <t>Color Key</t>
  </si>
  <si>
    <t>District 5</t>
  </si>
  <si>
    <t>District 4</t>
  </si>
  <si>
    <t>District 3</t>
  </si>
  <si>
    <t>Distrtic 2</t>
  </si>
  <si>
    <r>
      <t xml:space="preserve"> </t>
    </r>
    <r>
      <rPr>
        <b/>
        <sz val="12"/>
        <color theme="1"/>
        <rFont val="Calibri"/>
        <family val="2"/>
        <scheme val="minor"/>
      </rPr>
      <t>District 1</t>
    </r>
  </si>
  <si>
    <t>Final Round</t>
  </si>
  <si>
    <t>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</si>
</sst>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1" fillId="3" borderId="0" xfId="0" applyFont="1" applyFill="1"/>
    <xf numFmtId="165" fontId="1" fillId="0" borderId="0" xfId="1" applyNumberFormat="1" applyFont="1"/>
    <xf numFmtId="165" fontId="0" fillId="0" borderId="0" xfId="1" applyNumberFormat="1" applyFont="1"/>
    <xf numFmtId="165" fontId="1" fillId="2" borderId="0" xfId="1" applyNumberFormat="1" applyFont="1" applyFill="1"/>
    <xf numFmtId="165" fontId="1" fillId="3" borderId="0" xfId="1" applyNumberFormat="1" applyFont="1" applyFill="1"/>
    <xf numFmtId="0" fontId="1" fillId="4" borderId="0" xfId="0" applyFont="1" applyFill="1"/>
    <xf numFmtId="165" fontId="1" fillId="4" borderId="0" xfId="1" applyNumberFormat="1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right"/>
    </xf>
    <xf numFmtId="0" fontId="1" fillId="5" borderId="0" xfId="0" applyFont="1" applyFill="1" applyAlignment="1">
      <alignment horizontal="right"/>
    </xf>
    <xf numFmtId="0" fontId="1" fillId="5" borderId="0" xfId="0" applyFont="1" applyFill="1"/>
    <xf numFmtId="165" fontId="1" fillId="0" borderId="0" xfId="0" applyNumberFormat="1" applyFont="1"/>
    <xf numFmtId="3" fontId="4" fillId="6" borderId="0" xfId="0" applyNumberFormat="1" applyFont="1" applyFill="1"/>
    <xf numFmtId="0" fontId="1" fillId="7" borderId="0" xfId="0" applyFont="1" applyFill="1"/>
    <xf numFmtId="165" fontId="1" fillId="7" borderId="0" xfId="1" applyNumberFormat="1" applyFont="1" applyFill="1"/>
    <xf numFmtId="0" fontId="0" fillId="7" borderId="0" xfId="0" applyFill="1"/>
  </cellXfs>
  <cellStyles count="2">
    <cellStyle name="Comma" xfId="1" builtinId="3"/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_(* #,##0_);_(* \(#,##0\);_(* &quot;-&quot;??_);_(@_)"/>
    </dxf>
    <dxf>
      <font>
        <b/>
      </font>
      <fill>
        <patternFill patternType="solid">
          <fgColor indexed="64"/>
          <bgColor theme="9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0D87A8-6FEC-AD48-B03C-4A2D6C9F47A3}" name="Table2" displayName="Table2" ref="B1:C25" totalsRowShown="0" headerRowDxfId="6">
  <autoFilter ref="B1:C25" xr:uid="{190D87A8-6FEC-AD48-B03C-4A2D6C9F47A3}"/>
  <sortState xmlns:xlrd2="http://schemas.microsoft.com/office/spreadsheetml/2017/richdata2" ref="B2:C25">
    <sortCondition ref="B1:B25"/>
  </sortState>
  <tableColumns count="2">
    <tableColumn id="1" xr3:uid="{A2006382-096E-904A-A322-2018E8DFA596}" name="District 11 (Northern)"/>
    <tableColumn id="2" xr3:uid="{11BE992F-B0D5-6C49-B144-FC59BF9140BA}" name="Population" dataDxfId="5" dataCellStyle="Comm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82318-DBB4-3A4B-96CF-365FC71DBEAD}">
  <dimension ref="B1:L35"/>
  <sheetViews>
    <sheetView tabSelected="1" zoomScaleNormal="100" workbookViewId="0">
      <selection activeCell="F7" sqref="F7"/>
    </sheetView>
  </sheetViews>
  <sheetFormatPr baseColWidth="10" defaultRowHeight="16" x14ac:dyDescent="0.2"/>
  <cols>
    <col min="1" max="1" width="5.83203125" customWidth="1"/>
    <col min="2" max="2" width="21.5" bestFit="1" customWidth="1"/>
    <col min="3" max="3" width="12.33203125" bestFit="1" customWidth="1"/>
    <col min="4" max="4" width="5.83203125" customWidth="1"/>
    <col min="5" max="5" width="14.6640625" bestFit="1" customWidth="1"/>
    <col min="6" max="6" width="11.5" style="6" bestFit="1" customWidth="1"/>
    <col min="7" max="7" width="5.83203125" customWidth="1"/>
    <col min="8" max="8" width="14.5" bestFit="1" customWidth="1"/>
    <col min="9" max="9" width="13" style="6" bestFit="1" customWidth="1"/>
    <col min="11" max="11" width="14.5" bestFit="1" customWidth="1"/>
  </cols>
  <sheetData>
    <row r="1" spans="2:12" x14ac:dyDescent="0.2">
      <c r="B1" s="2" t="s">
        <v>85</v>
      </c>
      <c r="C1" s="2" t="s">
        <v>82</v>
      </c>
      <c r="E1" s="2" t="s">
        <v>86</v>
      </c>
      <c r="F1" s="7" t="s">
        <v>82</v>
      </c>
      <c r="H1" s="2" t="s">
        <v>87</v>
      </c>
      <c r="I1" s="7" t="s">
        <v>82</v>
      </c>
      <c r="K1" s="2" t="s">
        <v>88</v>
      </c>
      <c r="L1" s="2" t="s">
        <v>82</v>
      </c>
    </row>
    <row r="2" spans="2:12" x14ac:dyDescent="0.2">
      <c r="B2" t="s">
        <v>24</v>
      </c>
      <c r="C2" s="6">
        <v>8807</v>
      </c>
      <c r="E2" t="s">
        <v>38</v>
      </c>
      <c r="F2" s="5">
        <v>874195</v>
      </c>
      <c r="H2" t="s">
        <v>66</v>
      </c>
      <c r="I2" s="5">
        <v>1269431</v>
      </c>
      <c r="K2" t="s">
        <v>69</v>
      </c>
      <c r="L2" s="1">
        <v>1757043</v>
      </c>
    </row>
    <row r="3" spans="2:12" x14ac:dyDescent="0.2">
      <c r="B3" t="s">
        <v>45</v>
      </c>
      <c r="C3" s="6">
        <v>28847</v>
      </c>
    </row>
    <row r="4" spans="2:12" x14ac:dyDescent="0.2">
      <c r="B4" t="s">
        <v>29</v>
      </c>
      <c r="C4" s="6">
        <v>24249</v>
      </c>
      <c r="E4" s="4" t="s">
        <v>89</v>
      </c>
      <c r="F4" s="8" t="s">
        <v>82</v>
      </c>
      <c r="H4" s="4" t="s">
        <v>90</v>
      </c>
      <c r="I4" s="8" t="s">
        <v>82</v>
      </c>
      <c r="K4" s="9" t="s">
        <v>92</v>
      </c>
      <c r="L4" s="9" t="s">
        <v>82</v>
      </c>
    </row>
    <row r="5" spans="2:12" x14ac:dyDescent="0.2">
      <c r="B5" t="s">
        <v>73</v>
      </c>
      <c r="C5" s="6">
        <v>8277</v>
      </c>
      <c r="E5" t="s">
        <v>0</v>
      </c>
      <c r="F5" s="6">
        <v>22870</v>
      </c>
      <c r="H5" t="s">
        <v>40</v>
      </c>
      <c r="I5" s="5">
        <v>659083</v>
      </c>
      <c r="K5" t="s">
        <v>47</v>
      </c>
      <c r="L5" s="6">
        <v>8404</v>
      </c>
    </row>
    <row r="6" spans="2:12" x14ac:dyDescent="0.2">
      <c r="B6" t="s">
        <v>79</v>
      </c>
      <c r="C6" s="6">
        <v>26293</v>
      </c>
      <c r="E6" t="s">
        <v>53</v>
      </c>
      <c r="F6" s="6">
        <v>18297</v>
      </c>
      <c r="K6" t="s">
        <v>80</v>
      </c>
      <c r="L6" s="6">
        <v>10417</v>
      </c>
    </row>
    <row r="7" spans="2:12" x14ac:dyDescent="0.2">
      <c r="B7" t="s">
        <v>59</v>
      </c>
      <c r="C7" s="6">
        <v>25940</v>
      </c>
      <c r="E7" t="s">
        <v>31</v>
      </c>
      <c r="F7" s="6">
        <v>25287</v>
      </c>
      <c r="H7" s="4" t="s">
        <v>91</v>
      </c>
      <c r="I7" s="8" t="s">
        <v>82</v>
      </c>
      <c r="K7" t="s">
        <v>42</v>
      </c>
      <c r="L7" s="6">
        <v>20970</v>
      </c>
    </row>
    <row r="8" spans="2:12" x14ac:dyDescent="0.2">
      <c r="B8" t="s">
        <v>61</v>
      </c>
      <c r="C8" s="6">
        <v>36293</v>
      </c>
      <c r="E8" t="s">
        <v>64</v>
      </c>
      <c r="F8" s="6">
        <v>29409</v>
      </c>
      <c r="H8" t="s">
        <v>57</v>
      </c>
      <c r="I8" s="6">
        <v>401983</v>
      </c>
      <c r="K8" t="s">
        <v>44</v>
      </c>
      <c r="L8" s="6">
        <v>25521</v>
      </c>
    </row>
    <row r="9" spans="2:12" x14ac:dyDescent="0.2">
      <c r="B9" t="s">
        <v>74</v>
      </c>
      <c r="C9" s="6">
        <v>36741</v>
      </c>
      <c r="E9" t="s">
        <v>2</v>
      </c>
      <c r="F9" s="6">
        <v>34196</v>
      </c>
      <c r="H9" t="s">
        <v>81</v>
      </c>
      <c r="I9" s="6">
        <v>196161</v>
      </c>
      <c r="K9" t="s">
        <v>34</v>
      </c>
      <c r="L9" s="6">
        <v>25728</v>
      </c>
    </row>
    <row r="10" spans="2:12" x14ac:dyDescent="0.2">
      <c r="B10" t="s">
        <v>51</v>
      </c>
      <c r="C10" s="6">
        <v>25874</v>
      </c>
      <c r="E10" t="s">
        <v>62</v>
      </c>
      <c r="F10" s="6">
        <v>12594</v>
      </c>
      <c r="H10" s="1" t="s">
        <v>84</v>
      </c>
      <c r="I10" s="5">
        <f>SUM(I8:I9)</f>
        <v>598144</v>
      </c>
      <c r="K10" t="s">
        <v>78</v>
      </c>
      <c r="L10" s="6">
        <v>15089</v>
      </c>
    </row>
    <row r="11" spans="2:12" x14ac:dyDescent="0.2">
      <c r="B11" t="s">
        <v>27</v>
      </c>
      <c r="C11" s="6">
        <v>34163</v>
      </c>
      <c r="E11" t="s">
        <v>72</v>
      </c>
      <c r="F11" s="6">
        <v>96464</v>
      </c>
      <c r="K11" t="s">
        <v>54</v>
      </c>
      <c r="L11" s="6">
        <v>31248</v>
      </c>
    </row>
    <row r="12" spans="2:12" x14ac:dyDescent="0.2">
      <c r="B12" t="s">
        <v>37</v>
      </c>
      <c r="C12" s="6">
        <v>14319</v>
      </c>
      <c r="E12" t="s">
        <v>21</v>
      </c>
      <c r="F12" s="6">
        <v>50886</v>
      </c>
      <c r="H12" s="9" t="s">
        <v>93</v>
      </c>
      <c r="I12" s="10" t="s">
        <v>82</v>
      </c>
      <c r="K12" t="s">
        <v>39</v>
      </c>
      <c r="L12" s="6">
        <v>83674</v>
      </c>
    </row>
    <row r="13" spans="2:12" x14ac:dyDescent="0.2">
      <c r="B13" t="s">
        <v>13</v>
      </c>
      <c r="C13" s="6">
        <v>37035</v>
      </c>
      <c r="E13" t="s">
        <v>11</v>
      </c>
      <c r="F13" s="6">
        <v>15213</v>
      </c>
      <c r="H13" t="s">
        <v>77</v>
      </c>
      <c r="I13" s="6">
        <v>88780</v>
      </c>
      <c r="K13" t="s">
        <v>52</v>
      </c>
      <c r="L13" s="6">
        <v>102821</v>
      </c>
    </row>
    <row r="14" spans="2:12" x14ac:dyDescent="0.2">
      <c r="B14" t="s">
        <v>25</v>
      </c>
      <c r="C14" s="6">
        <v>11622</v>
      </c>
      <c r="E14" t="s">
        <v>28</v>
      </c>
      <c r="F14" s="6">
        <v>23274</v>
      </c>
      <c r="H14" t="s">
        <v>10</v>
      </c>
      <c r="I14" s="6">
        <v>160151</v>
      </c>
      <c r="K14" t="s">
        <v>71</v>
      </c>
      <c r="L14" s="6">
        <v>41100</v>
      </c>
    </row>
    <row r="15" spans="2:12" x14ac:dyDescent="0.2">
      <c r="B15" t="s">
        <v>6</v>
      </c>
      <c r="C15" s="6">
        <v>2180</v>
      </c>
      <c r="E15" t="s">
        <v>5</v>
      </c>
      <c r="F15" s="6">
        <v>40720</v>
      </c>
      <c r="H15" t="s">
        <v>33</v>
      </c>
      <c r="I15" s="6">
        <v>52945</v>
      </c>
      <c r="K15" t="s">
        <v>58</v>
      </c>
      <c r="L15" s="6">
        <v>67433</v>
      </c>
    </row>
    <row r="16" spans="2:12" x14ac:dyDescent="0.2">
      <c r="B16" t="s">
        <v>56</v>
      </c>
      <c r="C16" s="6">
        <v>5330</v>
      </c>
      <c r="E16" t="s">
        <v>55</v>
      </c>
      <c r="F16" s="6">
        <v>31352</v>
      </c>
      <c r="H16" t="s">
        <v>46</v>
      </c>
      <c r="I16" s="6">
        <v>40657</v>
      </c>
      <c r="K16" t="s">
        <v>18</v>
      </c>
      <c r="L16" s="6">
        <v>68022</v>
      </c>
    </row>
    <row r="17" spans="2:12" x14ac:dyDescent="0.2">
      <c r="B17" t="s">
        <v>65</v>
      </c>
      <c r="C17" s="6">
        <v>10941</v>
      </c>
      <c r="E17" t="s">
        <v>63</v>
      </c>
      <c r="F17" s="6">
        <v>18182</v>
      </c>
      <c r="H17" t="s">
        <v>12</v>
      </c>
      <c r="I17" s="6">
        <v>188330</v>
      </c>
      <c r="K17" t="s">
        <v>1</v>
      </c>
      <c r="L17" s="6">
        <v>79748</v>
      </c>
    </row>
    <row r="18" spans="2:12" x14ac:dyDescent="0.2">
      <c r="B18" t="s">
        <v>23</v>
      </c>
      <c r="C18" s="6">
        <v>66661</v>
      </c>
      <c r="E18" t="s">
        <v>43</v>
      </c>
      <c r="F18" s="6">
        <v>26973</v>
      </c>
      <c r="H18" s="1" t="s">
        <v>84</v>
      </c>
      <c r="I18" s="5">
        <f>SUM(I13:I17)</f>
        <v>530863</v>
      </c>
      <c r="K18" s="1" t="s">
        <v>84</v>
      </c>
      <c r="L18" s="17">
        <f>SUM(L5:L17)</f>
        <v>580175</v>
      </c>
    </row>
    <row r="19" spans="2:12" x14ac:dyDescent="0.2">
      <c r="B19" t="s">
        <v>35</v>
      </c>
      <c r="C19" s="6">
        <v>23266</v>
      </c>
      <c r="E19" t="s">
        <v>9</v>
      </c>
      <c r="F19" s="6">
        <v>13491</v>
      </c>
    </row>
    <row r="20" spans="2:12" x14ac:dyDescent="0.2">
      <c r="B20" t="s">
        <v>17</v>
      </c>
      <c r="C20" s="6">
        <v>9569</v>
      </c>
      <c r="E20" t="s">
        <v>22</v>
      </c>
      <c r="F20" s="6">
        <v>23708</v>
      </c>
      <c r="H20" s="9" t="s">
        <v>102</v>
      </c>
      <c r="I20" s="10" t="s">
        <v>82</v>
      </c>
      <c r="K20" s="9" t="s">
        <v>103</v>
      </c>
      <c r="L20" s="9" t="s">
        <v>82</v>
      </c>
    </row>
    <row r="21" spans="2:12" x14ac:dyDescent="0.2">
      <c r="B21" t="s">
        <v>36</v>
      </c>
      <c r="C21" s="6">
        <v>5863</v>
      </c>
      <c r="E21" t="s">
        <v>7</v>
      </c>
      <c r="F21" s="6">
        <v>64447</v>
      </c>
      <c r="H21" t="s">
        <v>67</v>
      </c>
      <c r="I21" s="6">
        <v>155609</v>
      </c>
      <c r="K21" t="s">
        <v>48</v>
      </c>
      <c r="L21" s="6">
        <v>366376</v>
      </c>
    </row>
    <row r="22" spans="2:12" x14ac:dyDescent="0.2">
      <c r="B22" t="s">
        <v>19</v>
      </c>
      <c r="C22" s="6">
        <v>25644</v>
      </c>
      <c r="E22" s="1" t="s">
        <v>84</v>
      </c>
      <c r="F22" s="5">
        <f>SUM(F5:F21)</f>
        <v>547363</v>
      </c>
      <c r="H22" t="s">
        <v>32</v>
      </c>
      <c r="I22" s="6">
        <v>133289</v>
      </c>
      <c r="K22" t="s">
        <v>30</v>
      </c>
      <c r="L22" s="6">
        <v>160066</v>
      </c>
    </row>
    <row r="23" spans="2:12" x14ac:dyDescent="0.2">
      <c r="B23" t="s">
        <v>83</v>
      </c>
      <c r="C23" s="6">
        <v>13361</v>
      </c>
      <c r="E23" s="3"/>
      <c r="H23" t="s">
        <v>20</v>
      </c>
      <c r="I23" s="6">
        <v>98567</v>
      </c>
      <c r="K23" s="1" t="s">
        <v>84</v>
      </c>
      <c r="L23" s="17">
        <f>SUM(L21:L22)</f>
        <v>526442</v>
      </c>
    </row>
    <row r="24" spans="2:12" x14ac:dyDescent="0.2">
      <c r="B24" t="s">
        <v>8</v>
      </c>
      <c r="C24" s="6">
        <v>8188</v>
      </c>
      <c r="E24" s="19" t="s">
        <v>105</v>
      </c>
      <c r="F24" s="20" t="s">
        <v>82</v>
      </c>
      <c r="H24" t="s">
        <v>41</v>
      </c>
      <c r="I24" s="6">
        <v>60874</v>
      </c>
    </row>
    <row r="25" spans="2:12" x14ac:dyDescent="0.2">
      <c r="B25" s="1" t="s">
        <v>84</v>
      </c>
      <c r="C25" s="5">
        <f>SUM(C2:C24)</f>
        <v>489463</v>
      </c>
      <c r="E25" t="s">
        <v>15</v>
      </c>
      <c r="F25" s="6">
        <v>300873</v>
      </c>
      <c r="H25" t="s">
        <v>75</v>
      </c>
      <c r="I25" s="6">
        <v>45762</v>
      </c>
      <c r="K25" s="9" t="s">
        <v>104</v>
      </c>
      <c r="L25" s="9" t="s">
        <v>82</v>
      </c>
    </row>
    <row r="26" spans="2:12" x14ac:dyDescent="0.2">
      <c r="E26" t="s">
        <v>70</v>
      </c>
      <c r="F26" s="6">
        <v>176565</v>
      </c>
      <c r="H26" t="s">
        <v>3</v>
      </c>
      <c r="I26" s="6">
        <v>44531</v>
      </c>
      <c r="K26" t="s">
        <v>50</v>
      </c>
      <c r="L26" s="6">
        <v>284108</v>
      </c>
    </row>
    <row r="27" spans="2:12" x14ac:dyDescent="0.2">
      <c r="E27" t="s">
        <v>68</v>
      </c>
      <c r="F27" s="6">
        <v>121210</v>
      </c>
      <c r="H27" s="1" t="s">
        <v>84</v>
      </c>
      <c r="I27" s="5">
        <f>SUM(I21:I26)</f>
        <v>538632</v>
      </c>
      <c r="K27" t="s">
        <v>60</v>
      </c>
      <c r="L27" s="6">
        <v>108992</v>
      </c>
    </row>
    <row r="28" spans="2:12" x14ac:dyDescent="0.2">
      <c r="B28" s="18">
        <v>564400</v>
      </c>
      <c r="E28" s="1" t="s">
        <v>84</v>
      </c>
      <c r="F28" s="5">
        <f>SUM(F25:F27)</f>
        <v>598648</v>
      </c>
      <c r="K28" t="s">
        <v>4</v>
      </c>
      <c r="L28" s="6">
        <v>66809</v>
      </c>
    </row>
    <row r="29" spans="2:12" x14ac:dyDescent="0.2">
      <c r="B29" s="15" t="s">
        <v>100</v>
      </c>
      <c r="C29" s="16" t="s">
        <v>101</v>
      </c>
      <c r="K29" t="s">
        <v>26</v>
      </c>
      <c r="L29" s="6">
        <v>63554</v>
      </c>
    </row>
    <row r="30" spans="2:12" x14ac:dyDescent="0.2">
      <c r="B30" s="14" t="s">
        <v>95</v>
      </c>
      <c r="C30" s="11" t="s">
        <v>94</v>
      </c>
      <c r="E30" s="21" t="s">
        <v>106</v>
      </c>
      <c r="F30" s="20" t="s">
        <v>82</v>
      </c>
      <c r="K30" s="1" t="s">
        <v>84</v>
      </c>
      <c r="L30" s="17">
        <f>SUM(L26:L29)</f>
        <v>523463</v>
      </c>
    </row>
    <row r="31" spans="2:12" x14ac:dyDescent="0.2">
      <c r="B31" s="14" t="s">
        <v>97</v>
      </c>
      <c r="C31" s="12" t="s">
        <v>96</v>
      </c>
      <c r="E31" t="s">
        <v>49</v>
      </c>
      <c r="F31" s="6">
        <v>261173</v>
      </c>
    </row>
    <row r="32" spans="2:12" x14ac:dyDescent="0.2">
      <c r="B32" s="14" t="s">
        <v>99</v>
      </c>
      <c r="C32" s="13" t="s">
        <v>98</v>
      </c>
      <c r="E32" t="s">
        <v>16</v>
      </c>
      <c r="F32" s="6">
        <v>152900</v>
      </c>
    </row>
    <row r="33" spans="2:6" x14ac:dyDescent="0.2">
      <c r="B33" s="14" t="s">
        <v>107</v>
      </c>
      <c r="C33" s="21" t="s">
        <v>108</v>
      </c>
      <c r="E33" t="s">
        <v>14</v>
      </c>
      <c r="F33" s="6">
        <v>75692</v>
      </c>
    </row>
    <row r="34" spans="2:6" x14ac:dyDescent="0.2">
      <c r="E34" t="s">
        <v>76</v>
      </c>
      <c r="F34" s="6">
        <v>51403</v>
      </c>
    </row>
    <row r="35" spans="2:6" x14ac:dyDescent="0.2">
      <c r="E35" s="1" t="s">
        <v>84</v>
      </c>
      <c r="F35" s="5">
        <f>SUM(F31:F34)</f>
        <v>541168</v>
      </c>
    </row>
  </sheetData>
  <conditionalFormatting sqref="E23 H5 E20:E21 K7:K17 K5 E5:E6 E8:E18 K2 H2 E2">
    <cfRule type="duplicateValues" dxfId="4" priority="4"/>
  </conditionalFormatting>
  <conditionalFormatting sqref="H5">
    <cfRule type="duplicateValues" dxfId="3" priority="5"/>
  </conditionalFormatting>
  <conditionalFormatting sqref="H26 H24 H21:H22">
    <cfRule type="duplicateValues" dxfId="2" priority="3"/>
  </conditionalFormatting>
  <conditionalFormatting sqref="K26:K28">
    <cfRule type="duplicateValues" dxfId="1" priority="2"/>
  </conditionalFormatting>
  <conditionalFormatting sqref="E31:E32">
    <cfRule type="duplicateValues" dxfId="0" priority="1"/>
  </conditionalFormatting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JENSS</dc:creator>
  <cp:lastModifiedBy>Stefan Edward Jenss</cp:lastModifiedBy>
  <dcterms:created xsi:type="dcterms:W3CDTF">2023-10-30T19:07:51Z</dcterms:created>
  <dcterms:modified xsi:type="dcterms:W3CDTF">2023-10-31T03:51:38Z</dcterms:modified>
</cp:coreProperties>
</file>