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jenss/Desktop/DataScience/Decision_analytics/Module6/"/>
    </mc:Choice>
  </mc:AlternateContent>
  <xr:revisionPtr revIDLastSave="0" documentId="13_ncr:1_{BFEF6458-970B-304C-B738-00E7C0743354}" xr6:coauthVersionLast="47" xr6:coauthVersionMax="47" xr10:uidLastSave="{00000000-0000-0000-0000-000000000000}"/>
  <bookViews>
    <workbookView xWindow="0" yWindow="500" windowWidth="19200" windowHeight="19580" xr2:uid="{44453298-CD55-E24A-8C56-71665D6DF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H22" i="1"/>
  <c r="E25" i="1"/>
</calcChain>
</file>

<file path=xl/sharedStrings.xml><?xml version="1.0" encoding="utf-8"?>
<sst xmlns="http://schemas.openxmlformats.org/spreadsheetml/2006/main" count="105" uniqueCount="96">
  <si>
    <t>All Counties</t>
  </si>
  <si>
    <t>Leelanau</t>
  </si>
  <si>
    <t>Clinton</t>
  </si>
  <si>
    <t>Wexford</t>
  </si>
  <si>
    <t>Branch</t>
  </si>
  <si>
    <t>Ionia</t>
  </si>
  <si>
    <t>Mecosta</t>
  </si>
  <si>
    <t>Keweenaw</t>
  </si>
  <si>
    <t>Isabella</t>
  </si>
  <si>
    <t>Schoolcraft</t>
  </si>
  <si>
    <t>Crawford</t>
  </si>
  <si>
    <t>St.Clair</t>
  </si>
  <si>
    <t>Missaukee</t>
  </si>
  <si>
    <t>PresqueIsle</t>
  </si>
  <si>
    <t>Saginaw</t>
  </si>
  <si>
    <t>Houghton</t>
  </si>
  <si>
    <t>VanBuren</t>
  </si>
  <si>
    <t>Ottawa</t>
  </si>
  <si>
    <t>Berrien</t>
  </si>
  <si>
    <t>Montmorency</t>
  </si>
  <si>
    <t>Shiawassee</t>
  </si>
  <si>
    <t>Otsego</t>
  </si>
  <si>
    <t>Lenawee</t>
  </si>
  <si>
    <t>Newaygo</t>
  </si>
  <si>
    <t>Roscommon</t>
  </si>
  <si>
    <t>Marquette</t>
  </si>
  <si>
    <t>Alger</t>
  </si>
  <si>
    <t>Iron</t>
  </si>
  <si>
    <t>Barry</t>
  </si>
  <si>
    <t>Emmet</t>
  </si>
  <si>
    <t>Osceola</t>
  </si>
  <si>
    <t>Antrim</t>
  </si>
  <si>
    <t>Jackson</t>
  </si>
  <si>
    <t>Manistee</t>
  </si>
  <si>
    <t>Calhoun</t>
  </si>
  <si>
    <t>Tuscola</t>
  </si>
  <si>
    <t>Gladwin</t>
  </si>
  <si>
    <t>Menominee</t>
  </si>
  <si>
    <t>Ontonagon</t>
  </si>
  <si>
    <t>Gogebic</t>
  </si>
  <si>
    <t>Macomb</t>
  </si>
  <si>
    <t>Midland</t>
  </si>
  <si>
    <t>Kent</t>
  </si>
  <si>
    <t>St.Joseph</t>
  </si>
  <si>
    <t>Ogemaw</t>
  </si>
  <si>
    <t>Oceana</t>
  </si>
  <si>
    <t>Iosco</t>
  </si>
  <si>
    <t>Alpena</t>
  </si>
  <si>
    <t>Sanilac</t>
  </si>
  <si>
    <t>Oscoda</t>
  </si>
  <si>
    <t>Washtenaw</t>
  </si>
  <si>
    <t>Kalamazoo</t>
  </si>
  <si>
    <t>Ingham</t>
  </si>
  <si>
    <t>Dickinson</t>
  </si>
  <si>
    <t>Bay</t>
  </si>
  <si>
    <t>Benzie</t>
  </si>
  <si>
    <t>Huron</t>
  </si>
  <si>
    <t>Clare</t>
  </si>
  <si>
    <t>Luce</t>
  </si>
  <si>
    <t>Genesee</t>
  </si>
  <si>
    <t>Montcalm</t>
  </si>
  <si>
    <t>Cheboygan</t>
  </si>
  <si>
    <t>Eaton</t>
  </si>
  <si>
    <t>Chippewa</t>
  </si>
  <si>
    <t>Lake</t>
  </si>
  <si>
    <t>Kalkaska</t>
  </si>
  <si>
    <t>Mason</t>
  </si>
  <si>
    <t>Mackinac</t>
  </si>
  <si>
    <t>Oakland</t>
  </si>
  <si>
    <t>Monroe</t>
  </si>
  <si>
    <t>Allegan</t>
  </si>
  <si>
    <t>Wayne</t>
  </si>
  <si>
    <t>Muskegon</t>
  </si>
  <si>
    <t>Gratiot</t>
  </si>
  <si>
    <t>GrandTraverse</t>
  </si>
  <si>
    <t>Baraga</t>
  </si>
  <si>
    <t>Delta</t>
  </si>
  <si>
    <t>Hillsdale</t>
  </si>
  <si>
    <t>Cass</t>
  </si>
  <si>
    <t>Lapeer</t>
  </si>
  <si>
    <t>Arenac</t>
  </si>
  <si>
    <t>Charlevoix</t>
  </si>
  <si>
    <t>Alcona</t>
  </si>
  <si>
    <t>Livingston</t>
  </si>
  <si>
    <t>Population</t>
  </si>
  <si>
    <t>Presque Isle</t>
  </si>
  <si>
    <t>Total Population</t>
  </si>
  <si>
    <t>District 11 (Northern)</t>
  </si>
  <si>
    <t>District 12</t>
  </si>
  <si>
    <t>District 13</t>
  </si>
  <si>
    <t>District 14</t>
  </si>
  <si>
    <t>District 10</t>
  </si>
  <si>
    <t>Potentially add more to get the number closer to 564,400</t>
  </si>
  <si>
    <t>District 9</t>
  </si>
  <si>
    <t>District 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</si>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</sst>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165" fontId="1" fillId="0" borderId="0" xfId="1" applyNumberFormat="1" applyFont="1"/>
    <xf numFmtId="165" fontId="0" fillId="0" borderId="0" xfId="1" applyNumberFormat="1" applyFont="1"/>
    <xf numFmtId="165" fontId="1" fillId="2" borderId="0" xfId="1" applyNumberFormat="1" applyFont="1" applyFill="1"/>
    <xf numFmtId="165" fontId="1" fillId="3" borderId="0" xfId="1" applyNumberFormat="1" applyFont="1" applyFill="1"/>
  </cellXfs>
  <cellStyles count="2">
    <cellStyle name="Comma" xfId="1" builtinId="3"/>
    <cellStyle name="Normal" xfId="0" builtinId="0"/>
  </cellStyles>
  <dxfs count="6">
    <dxf>
      <numFmt numFmtId="165" formatCode="_(* #,##0_);_(* \(#,##0\);_(* &quot;-&quot;??_);_(@_)"/>
    </dxf>
    <dxf>
      <numFmt numFmtId="165" formatCode="_(* #,##0_);_(* \(#,##0\);_(* &quot;-&quot;??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indexed="64"/>
          <bgColor theme="9" tint="0.59999389629810485"/>
        </patternFill>
      </fill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F823D-7113-F240-B124-5E5C25F203CF}" name="Table1" displayName="Table1" ref="A1:B107" totalsRowShown="0" headerRowDxfId="5">
  <autoFilter ref="A1:B107" xr:uid="{EC0F823D-7113-F240-B124-5E5C25F203CF}"/>
  <sortState xmlns:xlrd2="http://schemas.microsoft.com/office/spreadsheetml/2017/richdata2" ref="A2:B51">
    <sortCondition descending="1" ref="B1:B107"/>
  </sortState>
  <tableColumns count="2">
    <tableColumn id="1" xr3:uid="{1FACA074-0481-B84F-9BBE-F94F3262215E}" name="All Counties"/>
    <tableColumn id="2" xr3:uid="{2B535D85-C4A5-CA4A-BD30-56B8C264A4BE}" name="Population" dataDxfId="1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D87A8-6FEC-AD48-B03C-4A2D6C9F47A3}" name="Table2" displayName="Table2" ref="D1:E25" totalsRowShown="0" headerRowDxfId="4">
  <autoFilter ref="D1:E25" xr:uid="{190D87A8-6FEC-AD48-B03C-4A2D6C9F47A3}"/>
  <sortState xmlns:xlrd2="http://schemas.microsoft.com/office/spreadsheetml/2017/richdata2" ref="D2:E25">
    <sortCondition ref="D1:D25"/>
  </sortState>
  <tableColumns count="2">
    <tableColumn id="1" xr3:uid="{A2006382-096E-904A-A322-2018E8DFA596}" name="District 11 (Northern)"/>
    <tableColumn id="2" xr3:uid="{11BE992F-B0D5-6C49-B144-FC59BF9140BA}" name="Population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2318-DBB4-3A4B-96CF-365FC71DBEAD}">
  <dimension ref="A1:N39"/>
  <sheetViews>
    <sheetView tabSelected="1" zoomScale="120" zoomScaleNormal="120" workbookViewId="0">
      <selection activeCell="K14" sqref="K14"/>
    </sheetView>
  </sheetViews>
  <sheetFormatPr baseColWidth="10" defaultRowHeight="16" x14ac:dyDescent="0.2"/>
  <cols>
    <col min="1" max="1" width="13.1640625" bestFit="1" customWidth="1"/>
    <col min="2" max="2" width="13.1640625" style="6" customWidth="1"/>
    <col min="3" max="3" width="5.83203125" customWidth="1"/>
    <col min="4" max="4" width="19.33203125" customWidth="1"/>
    <col min="5" max="5" width="12.33203125" bestFit="1" customWidth="1"/>
    <col min="6" max="6" width="5.83203125" customWidth="1"/>
    <col min="7" max="7" width="14.6640625" bestFit="1" customWidth="1"/>
    <col min="8" max="8" width="11.5" style="6" bestFit="1" customWidth="1"/>
    <col min="9" max="9" width="5.83203125" customWidth="1"/>
    <col min="10" max="10" width="14.5" bestFit="1" customWidth="1"/>
    <col min="11" max="11" width="13" style="6" bestFit="1" customWidth="1"/>
  </cols>
  <sheetData>
    <row r="1" spans="1:14" x14ac:dyDescent="0.2">
      <c r="A1" s="1" t="s">
        <v>0</v>
      </c>
      <c r="B1" s="5" t="s">
        <v>84</v>
      </c>
      <c r="D1" s="2" t="s">
        <v>87</v>
      </c>
      <c r="E1" s="2" t="s">
        <v>84</v>
      </c>
      <c r="G1" s="2" t="s">
        <v>88</v>
      </c>
      <c r="H1" s="7" t="s">
        <v>84</v>
      </c>
      <c r="J1" s="2" t="s">
        <v>89</v>
      </c>
      <c r="K1" s="7" t="s">
        <v>84</v>
      </c>
      <c r="M1" s="2" t="s">
        <v>90</v>
      </c>
      <c r="N1" s="2" t="s">
        <v>84</v>
      </c>
    </row>
    <row r="2" spans="1:14" x14ac:dyDescent="0.2">
      <c r="A2" t="s">
        <v>50</v>
      </c>
      <c r="B2" s="6">
        <v>366376</v>
      </c>
      <c r="D2" t="s">
        <v>26</v>
      </c>
      <c r="E2" s="6">
        <v>8807</v>
      </c>
      <c r="G2" t="s">
        <v>40</v>
      </c>
      <c r="H2" s="5">
        <v>874195</v>
      </c>
      <c r="J2" t="s">
        <v>68</v>
      </c>
      <c r="K2" s="5">
        <v>1269431</v>
      </c>
      <c r="M2" t="s">
        <v>71</v>
      </c>
      <c r="N2" s="1">
        <v>1757043</v>
      </c>
    </row>
    <row r="3" spans="1:14" x14ac:dyDescent="0.2">
      <c r="A3" t="s">
        <v>17</v>
      </c>
      <c r="B3" s="6">
        <v>300873</v>
      </c>
      <c r="D3" t="s">
        <v>47</v>
      </c>
      <c r="E3" s="6">
        <v>28847</v>
      </c>
    </row>
    <row r="4" spans="1:14" x14ac:dyDescent="0.2">
      <c r="A4" t="s">
        <v>52</v>
      </c>
      <c r="B4" s="6">
        <v>284108</v>
      </c>
      <c r="D4" t="s">
        <v>31</v>
      </c>
      <c r="E4" s="6">
        <v>24249</v>
      </c>
      <c r="G4" s="4" t="s">
        <v>91</v>
      </c>
      <c r="H4" s="8" t="s">
        <v>84</v>
      </c>
      <c r="J4" s="4" t="s">
        <v>93</v>
      </c>
      <c r="K4" s="8" t="s">
        <v>84</v>
      </c>
    </row>
    <row r="5" spans="1:14" x14ac:dyDescent="0.2">
      <c r="A5" t="s">
        <v>51</v>
      </c>
      <c r="B5" s="6">
        <v>261173</v>
      </c>
      <c r="D5" t="s">
        <v>75</v>
      </c>
      <c r="E5" s="6">
        <v>8277</v>
      </c>
      <c r="G5" t="s">
        <v>1</v>
      </c>
      <c r="H5" s="6">
        <v>22870</v>
      </c>
      <c r="J5" t="s">
        <v>42</v>
      </c>
      <c r="K5" s="6">
        <v>659083</v>
      </c>
    </row>
    <row r="6" spans="1:14" x14ac:dyDescent="0.2">
      <c r="A6" t="s">
        <v>14</v>
      </c>
      <c r="B6" s="6">
        <v>188330</v>
      </c>
      <c r="D6" t="s">
        <v>81</v>
      </c>
      <c r="E6" s="6">
        <v>26293</v>
      </c>
      <c r="G6" t="s">
        <v>55</v>
      </c>
      <c r="H6" s="6">
        <v>18297</v>
      </c>
    </row>
    <row r="7" spans="1:14" x14ac:dyDescent="0.2">
      <c r="A7" t="s">
        <v>72</v>
      </c>
      <c r="B7" s="6">
        <v>176565</v>
      </c>
      <c r="D7" t="s">
        <v>61</v>
      </c>
      <c r="E7" s="6">
        <v>25940</v>
      </c>
      <c r="G7" t="s">
        <v>33</v>
      </c>
      <c r="H7" s="6">
        <v>25287</v>
      </c>
      <c r="J7" s="1" t="s">
        <v>94</v>
      </c>
      <c r="K7" s="5" t="s">
        <v>84</v>
      </c>
    </row>
    <row r="8" spans="1:14" x14ac:dyDescent="0.2">
      <c r="A8" t="s">
        <v>11</v>
      </c>
      <c r="B8" s="6">
        <v>160151</v>
      </c>
      <c r="D8" t="s">
        <v>63</v>
      </c>
      <c r="E8" s="6">
        <v>36293</v>
      </c>
      <c r="G8" t="s">
        <v>66</v>
      </c>
      <c r="H8" s="6">
        <v>29409</v>
      </c>
      <c r="J8" t="s">
        <v>59</v>
      </c>
      <c r="K8" s="6">
        <v>401983</v>
      </c>
    </row>
    <row r="9" spans="1:14" x14ac:dyDescent="0.2">
      <c r="A9" t="s">
        <v>32</v>
      </c>
      <c r="B9" s="6">
        <v>160066</v>
      </c>
      <c r="D9" t="s">
        <v>76</v>
      </c>
      <c r="E9" s="6">
        <v>36741</v>
      </c>
      <c r="G9" t="s">
        <v>3</v>
      </c>
      <c r="H9" s="6">
        <v>34196</v>
      </c>
      <c r="J9" t="s">
        <v>83</v>
      </c>
      <c r="K9" s="6">
        <v>196161</v>
      </c>
    </row>
    <row r="10" spans="1:14" x14ac:dyDescent="0.2">
      <c r="A10" t="s">
        <v>69</v>
      </c>
      <c r="B10" s="6">
        <v>155609</v>
      </c>
      <c r="D10" t="s">
        <v>53</v>
      </c>
      <c r="E10" s="6">
        <v>25874</v>
      </c>
      <c r="G10" t="s">
        <v>64</v>
      </c>
      <c r="H10" s="6">
        <v>12594</v>
      </c>
      <c r="J10" s="1" t="s">
        <v>86</v>
      </c>
      <c r="K10" s="6">
        <f>SUM(K8:K9)</f>
        <v>598144</v>
      </c>
    </row>
    <row r="11" spans="1:14" x14ac:dyDescent="0.2">
      <c r="A11" t="s">
        <v>18</v>
      </c>
      <c r="B11" s="6">
        <v>152900</v>
      </c>
      <c r="D11" t="s">
        <v>29</v>
      </c>
      <c r="E11" s="6">
        <v>34163</v>
      </c>
      <c r="G11" t="s">
        <v>74</v>
      </c>
      <c r="H11" s="6">
        <v>96464</v>
      </c>
    </row>
    <row r="12" spans="1:14" x14ac:dyDescent="0.2">
      <c r="A12" t="s">
        <v>34</v>
      </c>
      <c r="B12" s="6">
        <v>133289</v>
      </c>
      <c r="D12" t="s">
        <v>39</v>
      </c>
      <c r="E12" s="6">
        <v>14319</v>
      </c>
      <c r="G12" t="s">
        <v>23</v>
      </c>
      <c r="H12" s="6">
        <v>50886</v>
      </c>
    </row>
    <row r="13" spans="1:14" x14ac:dyDescent="0.2">
      <c r="A13" t="s">
        <v>70</v>
      </c>
      <c r="B13" s="6">
        <v>121210</v>
      </c>
      <c r="D13" t="s">
        <v>15</v>
      </c>
      <c r="E13" s="6">
        <v>37035</v>
      </c>
      <c r="G13" t="s">
        <v>12</v>
      </c>
      <c r="H13" s="6">
        <v>15213</v>
      </c>
    </row>
    <row r="14" spans="1:14" x14ac:dyDescent="0.2">
      <c r="A14" t="s">
        <v>62</v>
      </c>
      <c r="B14" s="6">
        <v>108992</v>
      </c>
      <c r="D14" t="s">
        <v>27</v>
      </c>
      <c r="E14" s="6">
        <v>11622</v>
      </c>
      <c r="G14" t="s">
        <v>30</v>
      </c>
      <c r="H14" s="6">
        <v>23274</v>
      </c>
      <c r="K14" s="6" t="s">
        <v>95</v>
      </c>
    </row>
    <row r="15" spans="1:14" x14ac:dyDescent="0.2">
      <c r="A15" t="s">
        <v>54</v>
      </c>
      <c r="B15" s="6">
        <v>102821</v>
      </c>
      <c r="D15" t="s">
        <v>7</v>
      </c>
      <c r="E15" s="6">
        <v>2180</v>
      </c>
      <c r="G15" t="s">
        <v>6</v>
      </c>
      <c r="H15" s="6">
        <v>40720</v>
      </c>
    </row>
    <row r="16" spans="1:14" x14ac:dyDescent="0.2">
      <c r="A16" t="s">
        <v>22</v>
      </c>
      <c r="B16" s="6">
        <v>98567</v>
      </c>
      <c r="D16" t="s">
        <v>58</v>
      </c>
      <c r="E16" s="6">
        <v>5330</v>
      </c>
      <c r="G16" t="s">
        <v>57</v>
      </c>
      <c r="H16" s="6">
        <v>31352</v>
      </c>
    </row>
    <row r="17" spans="1:8" x14ac:dyDescent="0.2">
      <c r="A17" t="s">
        <v>79</v>
      </c>
      <c r="B17" s="6">
        <v>88780</v>
      </c>
      <c r="D17" t="s">
        <v>67</v>
      </c>
      <c r="E17" s="6">
        <v>10941</v>
      </c>
      <c r="G17" t="s">
        <v>65</v>
      </c>
      <c r="H17" s="6">
        <v>18182</v>
      </c>
    </row>
    <row r="18" spans="1:8" x14ac:dyDescent="0.2">
      <c r="A18" t="s">
        <v>41</v>
      </c>
      <c r="B18" s="6">
        <v>83674</v>
      </c>
      <c r="D18" t="s">
        <v>25</v>
      </c>
      <c r="E18" s="6">
        <v>66661</v>
      </c>
      <c r="G18" t="s">
        <v>45</v>
      </c>
      <c r="H18" s="6">
        <v>26973</v>
      </c>
    </row>
    <row r="19" spans="1:8" x14ac:dyDescent="0.2">
      <c r="A19" t="s">
        <v>2</v>
      </c>
      <c r="B19" s="6">
        <v>79748</v>
      </c>
      <c r="D19" t="s">
        <v>37</v>
      </c>
      <c r="E19" s="6">
        <v>23266</v>
      </c>
      <c r="G19" t="s">
        <v>10</v>
      </c>
      <c r="H19" s="6">
        <v>13491</v>
      </c>
    </row>
    <row r="20" spans="1:8" x14ac:dyDescent="0.2">
      <c r="A20" t="s">
        <v>16</v>
      </c>
      <c r="B20" s="6">
        <v>75692</v>
      </c>
      <c r="D20" t="s">
        <v>19</v>
      </c>
      <c r="E20" s="6">
        <v>9569</v>
      </c>
      <c r="G20" t="s">
        <v>24</v>
      </c>
      <c r="H20" s="6">
        <v>23708</v>
      </c>
    </row>
    <row r="21" spans="1:8" x14ac:dyDescent="0.2">
      <c r="A21" t="s">
        <v>20</v>
      </c>
      <c r="B21" s="6">
        <v>68022</v>
      </c>
      <c r="D21" t="s">
        <v>38</v>
      </c>
      <c r="E21" s="6">
        <v>5863</v>
      </c>
      <c r="G21" t="s">
        <v>8</v>
      </c>
      <c r="H21" s="6">
        <v>64447</v>
      </c>
    </row>
    <row r="22" spans="1:8" x14ac:dyDescent="0.2">
      <c r="A22" t="s">
        <v>60</v>
      </c>
      <c r="B22" s="6">
        <v>67433</v>
      </c>
      <c r="D22" t="s">
        <v>21</v>
      </c>
      <c r="E22" s="6">
        <v>25644</v>
      </c>
      <c r="G22" s="1" t="s">
        <v>86</v>
      </c>
      <c r="H22" s="6">
        <f>SUM(H5:H21)</f>
        <v>547363</v>
      </c>
    </row>
    <row r="23" spans="1:8" x14ac:dyDescent="0.2">
      <c r="A23" t="s">
        <v>5</v>
      </c>
      <c r="B23" s="6">
        <v>66809</v>
      </c>
      <c r="D23" t="s">
        <v>85</v>
      </c>
      <c r="E23" s="6">
        <v>13361</v>
      </c>
      <c r="G23" s="3" t="s">
        <v>92</v>
      </c>
    </row>
    <row r="24" spans="1:8" x14ac:dyDescent="0.2">
      <c r="A24" t="s">
        <v>28</v>
      </c>
      <c r="B24" s="6">
        <v>63554</v>
      </c>
      <c r="D24" t="s">
        <v>9</v>
      </c>
      <c r="E24" s="6">
        <v>8188</v>
      </c>
    </row>
    <row r="25" spans="1:8" x14ac:dyDescent="0.2">
      <c r="A25" t="s">
        <v>43</v>
      </c>
      <c r="B25" s="6">
        <v>60874</v>
      </c>
      <c r="D25" s="1" t="s">
        <v>86</v>
      </c>
      <c r="E25" s="5">
        <f>SUM(E2:E24)</f>
        <v>489463</v>
      </c>
    </row>
    <row r="26" spans="1:8" x14ac:dyDescent="0.2">
      <c r="A26" t="s">
        <v>35</v>
      </c>
      <c r="B26" s="6">
        <v>52945</v>
      </c>
    </row>
    <row r="27" spans="1:8" x14ac:dyDescent="0.2">
      <c r="A27" t="s">
        <v>78</v>
      </c>
      <c r="B27" s="6">
        <v>51403</v>
      </c>
    </row>
    <row r="28" spans="1:8" x14ac:dyDescent="0.2">
      <c r="A28" t="s">
        <v>77</v>
      </c>
      <c r="B28" s="6">
        <v>45762</v>
      </c>
    </row>
    <row r="29" spans="1:8" x14ac:dyDescent="0.2">
      <c r="A29" t="s">
        <v>4</v>
      </c>
      <c r="B29" s="6">
        <v>44531</v>
      </c>
    </row>
    <row r="30" spans="1:8" x14ac:dyDescent="0.2">
      <c r="A30" t="s">
        <v>73</v>
      </c>
      <c r="B30" s="6">
        <v>41100</v>
      </c>
    </row>
    <row r="31" spans="1:8" x14ac:dyDescent="0.2">
      <c r="A31" t="s">
        <v>48</v>
      </c>
      <c r="B31" s="6">
        <v>40657</v>
      </c>
    </row>
    <row r="32" spans="1:8" x14ac:dyDescent="0.2">
      <c r="A32" t="s">
        <v>56</v>
      </c>
      <c r="B32" s="6">
        <v>31248</v>
      </c>
    </row>
    <row r="33" spans="1:2" x14ac:dyDescent="0.2">
      <c r="A33" t="s">
        <v>36</v>
      </c>
      <c r="B33" s="6">
        <v>25728</v>
      </c>
    </row>
    <row r="34" spans="1:2" x14ac:dyDescent="0.2">
      <c r="A34" t="s">
        <v>46</v>
      </c>
      <c r="B34" s="6">
        <v>25521</v>
      </c>
    </row>
    <row r="35" spans="1:2" x14ac:dyDescent="0.2">
      <c r="A35" t="s">
        <v>44</v>
      </c>
      <c r="B35" s="6">
        <v>20970</v>
      </c>
    </row>
    <row r="36" spans="1:2" x14ac:dyDescent="0.2">
      <c r="A36" t="s">
        <v>80</v>
      </c>
      <c r="B36" s="6">
        <v>15089</v>
      </c>
    </row>
    <row r="37" spans="1:2" x14ac:dyDescent="0.2">
      <c r="A37" t="s">
        <v>13</v>
      </c>
      <c r="B37" s="6">
        <v>13361</v>
      </c>
    </row>
    <row r="38" spans="1:2" x14ac:dyDescent="0.2">
      <c r="A38" t="s">
        <v>82</v>
      </c>
      <c r="B38" s="6">
        <v>10417</v>
      </c>
    </row>
    <row r="39" spans="1:2" x14ac:dyDescent="0.2">
      <c r="A39" t="s">
        <v>49</v>
      </c>
      <c r="B39" s="6">
        <v>8404</v>
      </c>
    </row>
  </sheetData>
  <conditionalFormatting sqref="G23 A3:A6 J5 A1 A8:A11 A13:A17 A19:A21 A23:A24 G20:G21 A26:A29 A31 A34 G5:G6 A40:A42 A44 A47:A58 A60:A61 G8:G18 A63:A107 M2 J2 G2">
    <cfRule type="duplicateValues" dxfId="3" priority="1"/>
  </conditionalFormatting>
  <conditionalFormatting sqref="J5">
    <cfRule type="duplicateValues" dxfId="2" priority="2"/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JENSS</dc:creator>
  <cp:lastModifiedBy>Stefan Edward Jenss</cp:lastModifiedBy>
  <dcterms:created xsi:type="dcterms:W3CDTF">2023-10-30T19:07:51Z</dcterms:created>
  <dcterms:modified xsi:type="dcterms:W3CDTF">2023-10-30T22:14:11Z</dcterms:modified>
</cp:coreProperties>
</file>